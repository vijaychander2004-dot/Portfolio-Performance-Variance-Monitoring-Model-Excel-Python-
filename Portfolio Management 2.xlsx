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BA96D2ED-49B3-4D79-B9BE-63CE1279B0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fficient Frontier" sheetId="1" r:id="rId1"/>
    <sheet name="Optimal Portfolio" sheetId="3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olver_adj" localSheetId="1" hidden="1">'Optimal Portfolio'!$C$10:$C$19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'Optimal Portfolio'!$G$10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E10" i="3" l="1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D10" i="3"/>
  <c r="F10" i="3" l="1"/>
  <c r="G10" i="3" s="1"/>
  <c r="E35" i="3" l="1"/>
  <c r="E39" i="3"/>
  <c r="E24" i="3"/>
  <c r="E28" i="3"/>
  <c r="E32" i="3"/>
  <c r="E40" i="3"/>
  <c r="E25" i="3"/>
  <c r="E29" i="3"/>
  <c r="E33" i="3"/>
  <c r="E36" i="3"/>
  <c r="E37" i="3"/>
  <c r="E41" i="3"/>
  <c r="E26" i="3"/>
  <c r="E30" i="3"/>
  <c r="E34" i="3"/>
  <c r="E38" i="3"/>
  <c r="E42" i="3"/>
  <c r="E27" i="3"/>
  <c r="E31" i="3"/>
  <c r="E23" i="3"/>
</calcChain>
</file>

<file path=xl/sharedStrings.xml><?xml version="1.0" encoding="utf-8"?>
<sst xmlns="http://schemas.openxmlformats.org/spreadsheetml/2006/main" count="29" uniqueCount="21">
  <si>
    <t>rho(R1,R2)=</t>
  </si>
  <si>
    <t>Portfolio expected return</t>
  </si>
  <si>
    <t>Portfolio standard deviation</t>
  </si>
  <si>
    <t>w1=</t>
  </si>
  <si>
    <t xml:space="preserve">Risk free = </t>
  </si>
  <si>
    <t>Market risk premium</t>
  </si>
  <si>
    <t>Sharpe ratio</t>
  </si>
  <si>
    <t>x</t>
  </si>
  <si>
    <t>y</t>
  </si>
  <si>
    <t>Graph the CAL:</t>
  </si>
  <si>
    <t>In solver, set the objective as "to max" the Sharpe ratio, and set "by changing variables" as asset weight w1.</t>
  </si>
  <si>
    <t>&lt;= the optimal portfolio found using solver</t>
  </si>
  <si>
    <t xml:space="preserve">This gives the optimal portfolio. </t>
  </si>
  <si>
    <t>Efficient Frontier and CAL Template</t>
  </si>
  <si>
    <t>E(R1) =</t>
  </si>
  <si>
    <t>E(R2) =</t>
  </si>
  <si>
    <t>sigma(R1) =</t>
  </si>
  <si>
    <t>sigma(R2) =</t>
  </si>
  <si>
    <t>rho(R1,R2) =</t>
  </si>
  <si>
    <t>Adani Green</t>
  </si>
  <si>
    <t>TATa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</si>
</sst>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"/>
    <numFmt numFmtId="166" formatCode="_-* #,##0_-;\(#,##0\)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u/>
      <sz val="11"/>
      <color theme="10"/>
      <name val="Calibri"/>
      <family val="2"/>
      <scheme val="minor"/>
    </font>
    <font>
      <i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6" fontId="5" fillId="2" borderId="0" xfId="1" applyNumberFormat="1" applyFont="1" applyFill="1"/>
    <xf numFmtId="166" fontId="2" fillId="2" borderId="0" xfId="1" applyNumberFormat="1" applyFont="1" applyFill="1"/>
    <xf numFmtId="166" fontId="2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10" fontId="3" fillId="0" borderId="0" xfId="2" applyNumberFormat="1" applyFont="1" applyBorder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10" fontId="4" fillId="0" borderId="0" xfId="2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2" fontId="4" fillId="0" borderId="0" xfId="1" applyNumberFormat="1" applyFont="1" applyBorder="1" applyAlignment="1">
      <alignment horizontal="center"/>
    </xf>
    <xf numFmtId="2" fontId="4" fillId="0" borderId="0" xfId="1" applyNumberFormat="1" applyFont="1" applyBorder="1"/>
    <xf numFmtId="9" fontId="4" fillId="0" borderId="0" xfId="0" applyNumberFormat="1" applyFont="1" applyAlignment="1">
      <alignment horizontal="center"/>
    </xf>
    <xf numFmtId="9" fontId="4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164" fontId="3" fillId="0" borderId="0" xfId="1" applyFont="1" applyBorder="1"/>
    <xf numFmtId="165" fontId="4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3" applyFont="1"/>
    <xf numFmtId="10" fontId="0" fillId="0" borderId="0" xfId="2" applyNumberFormat="1" applyFont="1"/>
    <xf numFmtId="0" fontId="4" fillId="0" borderId="0" xfId="0" applyNumberFormat="1" applyFont="1"/>
    <xf numFmtId="2" fontId="0" fillId="0" borderId="0" xfId="0" applyNumberFormat="1"/>
  </cellXfs>
  <cellStyles count="6">
    <cellStyle name="Comma" xfId="1" builtinId="3"/>
    <cellStyle name="Hyperlink 2 2" xfId="5" xr:uid="{B02D6C00-6086-4D9A-8021-535D61EE8ED6}"/>
    <cellStyle name="Hyperlink 3" xfId="3" xr:uid="{00000000-0005-0000-0000-000001000000}"/>
    <cellStyle name="Normal" xfId="0" builtinId="0"/>
    <cellStyle name="Normal 2 2 2" xfId="4" xr:uid="{834BE320-EDDA-4653-BD0B-149F25AC036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Portfolio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'Efficient Frontier'!$E$9</c:f>
              <c:strCache>
                <c:ptCount val="1"/>
                <c:pt idx="0">
                  <c:v>Portfolio expected return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'Efficient Frontier'!$D$10:$D$19</c:f>
              <c:numCache>
                <c:formatCode>0.00%</c:formatCode>
                <c:ptCount val="10"/>
                <c:pt idx="0">
                  <c:v>8.9095454429504992E-2</c:v>
                </c:pt>
                <c:pt idx="1">
                  <c:v>8.265591327908732E-2</c:v>
                </c:pt>
                <c:pt idx="2">
                  <c:v>8.1743501270743216E-2</c:v>
                </c:pt>
                <c:pt idx="3">
                  <c:v>8.6533230611135742E-2</c:v>
                </c:pt>
                <c:pt idx="4">
                  <c:v>9.6176920308356728E-2</c:v>
                </c:pt>
                <c:pt idx="5">
                  <c:v>0.10939835464941874</c:v>
                </c:pt>
                <c:pt idx="6">
                  <c:v>0.12506798151405499</c:v>
                </c:pt>
                <c:pt idx="7">
                  <c:v>0.14237977384446149</c:v>
                </c:pt>
                <c:pt idx="8">
                  <c:v>0.16080422880011583</c:v>
                </c:pt>
                <c:pt idx="9">
                  <c:v>0.18</c:v>
                </c:pt>
              </c:numCache>
            </c:numRef>
          </c:xVal>
          <c:yVal>
            <c:numRef>
              <c:f>'Efficient Frontier'!$E$10:$E$19</c:f>
              <c:numCache>
                <c:formatCode>0.00%</c:formatCode>
                <c:ptCount val="10"/>
                <c:pt idx="0">
                  <c:v>7.8000000000000014E-2</c:v>
                </c:pt>
                <c:pt idx="1">
                  <c:v>8.6000000000000007E-2</c:v>
                </c:pt>
                <c:pt idx="2">
                  <c:v>9.4E-2</c:v>
                </c:pt>
                <c:pt idx="3">
                  <c:v>0.10200000000000001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0.126</c:v>
                </c:pt>
                <c:pt idx="7">
                  <c:v>0.13400000000000001</c:v>
                </c:pt>
                <c:pt idx="8">
                  <c:v>0.14200000000000002</c:v>
                </c:pt>
                <c:pt idx="9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64-417D-9004-571DA402D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58936"/>
        <c:axId val="508766152"/>
      </c:scatterChart>
      <c:valAx>
        <c:axId val="508758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CA"/>
                  <a:t>Portfolio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08766152"/>
        <c:crosses val="autoZero"/>
        <c:crossBetween val="midCat"/>
      </c:valAx>
      <c:valAx>
        <c:axId val="508766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CA"/>
                  <a:t>Portfolio expected return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304319772528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0875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Portfolio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79842224570841"/>
          <c:y val="0.16756883216648916"/>
          <c:w val="0.75023140857392823"/>
          <c:h val="0.603769414144332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'Optimal Portfolio'!$E$9</c:f>
              <c:strCache>
                <c:ptCount val="1"/>
                <c:pt idx="0">
                  <c:v>Portfolio expected return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'Optimal Portfolio'!$D$10:$D$19</c:f>
              <c:numCache>
                <c:formatCode>0.00%</c:formatCode>
                <c:ptCount val="10"/>
                <c:pt idx="0">
                  <c:v>2.2065678230748103E-2</c:v>
                </c:pt>
                <c:pt idx="1">
                  <c:v>1.4971740129004292E-2</c:v>
                </c:pt>
                <c:pt idx="2">
                  <c:v>1.5962395054057731E-2</c:v>
                </c:pt>
                <c:pt idx="3">
                  <c:v>1.7163011292822751E-2</c:v>
                </c:pt>
                <c:pt idx="4">
                  <c:v>1.853282776096786E-2</c:v>
                </c:pt>
                <c:pt idx="5">
                  <c:v>2.0037172964323731E-2</c:v>
                </c:pt>
                <c:pt idx="6">
                  <c:v>2.1648019387258872E-2</c:v>
                </c:pt>
                <c:pt idx="7">
                  <c:v>2.3343329535103416E-2</c:v>
                </c:pt>
                <c:pt idx="8">
                  <c:v>2.5105998717081777E-2</c:v>
                </c:pt>
                <c:pt idx="9">
                  <c:v>2.6922799943248428E-2</c:v>
                </c:pt>
              </c:numCache>
            </c:numRef>
          </c:xVal>
          <c:yVal>
            <c:numRef>
              <c:f>'Optimal Portfolio'!$E$10:$E$19</c:f>
              <c:numCache>
                <c:formatCode>0.00%</c:formatCode>
                <c:ptCount val="10"/>
                <c:pt idx="0">
                  <c:v>0.22406696368812518</c:v>
                </c:pt>
                <c:pt idx="1">
                  <c:v>0.15461532925864185</c:v>
                </c:pt>
                <c:pt idx="2">
                  <c:v>0.16784270062595319</c:v>
                </c:pt>
                <c:pt idx="3">
                  <c:v>0.18107007199326458</c:v>
                </c:pt>
                <c:pt idx="4">
                  <c:v>0.19429744336057592</c:v>
                </c:pt>
                <c:pt idx="5">
                  <c:v>0.20752481472788728</c:v>
                </c:pt>
                <c:pt idx="6">
                  <c:v>0.22075218609519864</c:v>
                </c:pt>
                <c:pt idx="7">
                  <c:v>0.23397955746251001</c:v>
                </c:pt>
                <c:pt idx="8">
                  <c:v>0.24720692882982134</c:v>
                </c:pt>
                <c:pt idx="9">
                  <c:v>0.26043430019713271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08-4CED-BBFF-169A13A272A1}"/>
            </c:ext>
          </c:extLst>
        </c:ser>
        <c:ser>
          <c:idx val="1"/>
          <c:order val="1"/>
          <c:tx>
            <c:v>Risk free returns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'Optimal Portfolio'!$H$4</c:f>
              <c:numCache>
                <c:formatCode>0%</c:formatCode>
                <c:ptCount val="1"/>
                <c:pt idx="0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08-4CED-BBFF-169A13A272A1}"/>
            </c:ext>
          </c:extLst>
        </c:ser>
        <c:ser>
          <c:idx val="2"/>
          <c:order val="2"/>
          <c:tx>
            <c:v>Optimal Portfolio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'Optimal Portfolio'!$D$22:$D$42</c:f>
              <c:numCache>
                <c:formatCode>General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'Optimal Portfolio'!$E$22:$E$42</c:f>
              <c:numCache>
                <c:formatCode>0.0000</c:formatCode>
                <c:ptCount val="21"/>
                <c:pt idx="0" formatCode="General">
                  <c:v>0.05</c:v>
                </c:pt>
                <c:pt idx="1">
                  <c:v>0.12888584337533129</c:v>
                </c:pt>
                <c:pt idx="2">
                  <c:v>0.2077716867506626</c:v>
                </c:pt>
                <c:pt idx="3">
                  <c:v>0.28665753012599382</c:v>
                </c:pt>
                <c:pt idx="4">
                  <c:v>0.36554337350132515</c:v>
                </c:pt>
                <c:pt idx="5">
                  <c:v>0.44442921687665643</c:v>
                </c:pt>
                <c:pt idx="6">
                  <c:v>0.52331506025198771</c:v>
                </c:pt>
                <c:pt idx="7">
                  <c:v>0.60220090362731904</c:v>
                </c:pt>
                <c:pt idx="8">
                  <c:v>0.68108674700265037</c:v>
                </c:pt>
                <c:pt idx="9">
                  <c:v>0.75997259037798159</c:v>
                </c:pt>
                <c:pt idx="10">
                  <c:v>0.83885843375331293</c:v>
                </c:pt>
                <c:pt idx="11">
                  <c:v>0.91774427712864415</c:v>
                </c:pt>
                <c:pt idx="12">
                  <c:v>0.99663012050397537</c:v>
                </c:pt>
                <c:pt idx="13">
                  <c:v>1.0755159638793068</c:v>
                </c:pt>
                <c:pt idx="14">
                  <c:v>1.154401807254638</c:v>
                </c:pt>
                <c:pt idx="15">
                  <c:v>1.2332876506299693</c:v>
                </c:pt>
                <c:pt idx="16">
                  <c:v>1.3121734940053007</c:v>
                </c:pt>
                <c:pt idx="17">
                  <c:v>1.3910593373806319</c:v>
                </c:pt>
                <c:pt idx="18">
                  <c:v>1.4699451807559631</c:v>
                </c:pt>
                <c:pt idx="19">
                  <c:v>1.5488310241312944</c:v>
                </c:pt>
                <c:pt idx="20">
                  <c:v>1.6277168675066258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08-4CED-BBFF-169A13A272A1}"/>
            </c:ext>
          </c:extLst>
        </c:ser>
        <c:ser>
          <c:idx val="3"/>
          <c:order val="3"/>
          <c:tx>
            <c:v>Optimal Portfolio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'Optimal Portfolio'!$D$10</c:f>
              <c:numCache>
                <c:formatCode>0.00%</c:formatCode>
                <c:ptCount val="1"/>
                <c:pt idx="0">
                  <c:v>2.2065678230748103E-2</c:v>
                </c:pt>
              </c:numCache>
            </c:numRef>
          </c:xVal>
          <c:yVal>
            <c:numRef>
              <c:f>'Optimal Portfolio'!$E$10</c:f>
              <c:numCache>
                <c:formatCode>0.00%</c:formatCode>
                <c:ptCount val="1"/>
                <c:pt idx="0">
                  <c:v>0.22406696368812518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08-4CED-BBFF-169A13A2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58936"/>
        <c:axId val="508766152"/>
      </c:scatterChart>
      <c:valAx>
        <c:axId val="508758936"/>
        <c:scaling>
          <c:orientation val="minMax"/>
          <c:max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CA"/>
                  <a:t>Portfolio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08766152"/>
        <c:crosses val="autoZero"/>
        <c:crossBetween val="midCat"/>
      </c:valAx>
      <c:valAx>
        <c:axId val="508766152"/>
        <c:scaling>
          <c:orientation val="minMax"/>
          <c:max val="0.16000000000000003"/>
          <c:min val="4.0000000000000008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rPr lang="en-CA"/>
                  <a:t>Portfolio expected return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304319772528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0875893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'Optimal Portfolio'!$E$9</c:f>
              <c:strCache>
                <c:ptCount val="1"/>
                <c:pt idx="0">
                  <c:v>Portfolio expected return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'Optimal Portfolio'!$D$10:$D$19</c:f>
              <c:numCache>
                <c:formatCode>0.00%</c:formatCode>
                <c:ptCount val="10"/>
                <c:pt idx="0">
                  <c:v>2.2065678230748103E-2</c:v>
                </c:pt>
                <c:pt idx="1">
                  <c:v>1.4971740129004292E-2</c:v>
                </c:pt>
                <c:pt idx="2">
                  <c:v>1.5962395054057731E-2</c:v>
                </c:pt>
                <c:pt idx="3">
                  <c:v>1.7163011292822751E-2</c:v>
                </c:pt>
                <c:pt idx="4">
                  <c:v>1.853282776096786E-2</c:v>
                </c:pt>
                <c:pt idx="5">
                  <c:v>2.0037172964323731E-2</c:v>
                </c:pt>
                <c:pt idx="6">
                  <c:v>2.1648019387258872E-2</c:v>
                </c:pt>
                <c:pt idx="7">
                  <c:v>2.3343329535103416E-2</c:v>
                </c:pt>
                <c:pt idx="8">
                  <c:v>2.5105998717081777E-2</c:v>
                </c:pt>
                <c:pt idx="9">
                  <c:v>2.6922799943248428E-2</c:v>
                </c:pt>
              </c:numCache>
            </c:numRef>
          </c:xVal>
          <c:yVal>
            <c:numRef>
              <c:f>'Optimal Portfolio'!$E$10:$E$19</c:f>
              <c:numCache>
                <c:formatCode>0.00%</c:formatCode>
                <c:ptCount val="10"/>
                <c:pt idx="0">
                  <c:v>0.22406696368812518</c:v>
                </c:pt>
                <c:pt idx="1">
                  <c:v>0.15461532925864185</c:v>
                </c:pt>
                <c:pt idx="2">
                  <c:v>0.16784270062595319</c:v>
                </c:pt>
                <c:pt idx="3">
                  <c:v>0.18107007199326458</c:v>
                </c:pt>
                <c:pt idx="4">
                  <c:v>0.19429744336057592</c:v>
                </c:pt>
                <c:pt idx="5">
                  <c:v>0.20752481472788728</c:v>
                </c:pt>
                <c:pt idx="6">
                  <c:v>0.22075218609519864</c:v>
                </c:pt>
                <c:pt idx="7">
                  <c:v>0.23397955746251001</c:v>
                </c:pt>
                <c:pt idx="8">
                  <c:v>0.24720692882982134</c:v>
                </c:pt>
                <c:pt idx="9">
                  <c:v>0.26043430019713271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B-4199-A825-5FEBCE6DE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250527"/>
        <c:axId val="835260607"/>
      </c:scatterChart>
      <c:valAx>
        <c:axId val="8352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60607"/>
        <c:crosses val="autoZero"/>
        <c:crossBetween val="midCat"/>
      </c:valAx>
      <c:valAx>
        <c:axId val="8352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5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441325</xdr:colOff>
      <xdr:row>5</xdr:row>
      <xdr:rowOff>19050</xdr:rowOff>
    </xdr:from>
    <xdr:to>
      <xdr:col>13</xdr:col>
      <xdr:colOff>492125</xdr:colOff>
      <xdr:row>18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978DAA-F576-41FC-B6A5-358F2E93E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16</xdr:row>
      <xdr:rowOff>38100</xdr:rowOff>
    </xdr:from>
    <xdr:to>
      <xdr:col>15</xdr:col>
      <xdr:colOff>190500</xdr:colOff>
      <xdr:row>31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2003B-5A31-474F-9029-850CDF0B3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430530</xdr:colOff>
      <xdr:row>15</xdr:row>
      <xdr:rowOff>117157</xdr:rowOff>
    </xdr:from>
    <xdr:to>
      <xdr:col>24</xdr:col>
      <xdr:colOff>128111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9A47B-DBF1-BCA0-35B5-19EFE85D2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0.21275</cdr:x>
      <cdr:y>0.44243</cdr:y>
    </cdr:from>
    <cdr:to>
      <cdr:x>0.42942</cdr:x>
      <cdr:y>0.53734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281598-FDE7-4EE2-B366-04C1B2DDE0DA}"/>
            </a:ext>
          </a:extLst>
        </cdr:cNvPr>
        <cdr:cNvSpPr txBox="1"/>
      </cdr:nvSpPr>
      <cdr:spPr>
        <a:xfrm xmlns:a="http://schemas.openxmlformats.org/drawingml/2006/main">
          <a:off x="1149001" y="1330272"/>
          <a:ext cx="1170164" cy="285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000">
              <a:solidFill>
                <a:schemeClr val="tx2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Optimal CAL</a:t>
          </a:r>
        </a:p>
      </cdr:txBody>
    </cdr:sp>
  </cdr:relSizeAnchor>
  <cdr:relSizeAnchor xmlns:cdr="http://schemas.openxmlformats.org/drawingml/2006/chartDrawing">
    <cdr:from>
      <cdr:x>0.28819</cdr:x>
      <cdr:y>0.52894</cdr:y>
    </cdr:from>
    <cdr:to>
      <cdr:x>0.31597</cdr:x>
      <cdr:y>0.59375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C5F3D624-BC45-4A0D-B49E-E86A56119937}"/>
            </a:ext>
          </a:extLst>
        </cdr:cNvPr>
        <cdr:cNvCxnSpPr/>
      </cdr:nvCxnSpPr>
      <cdr:spPr>
        <a:xfrm xmlns:a="http://schemas.openxmlformats.org/drawingml/2006/main">
          <a:off x="1317625" y="1450975"/>
          <a:ext cx="127000" cy="1778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2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0.34097</cdr:x>
      <cdr:y>0.23509</cdr:y>
    </cdr:from>
    <cdr:to>
      <cdr:x>0.49375</cdr:x>
      <cdr:y>0.4117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45EEC16-C003-41A0-AB8F-490657D1DCFB}"/>
            </a:ext>
          </a:extLst>
        </cdr:cNvPr>
        <cdr:cNvSpPr txBox="1"/>
      </cdr:nvSpPr>
      <cdr:spPr>
        <a:xfrm xmlns:a="http://schemas.openxmlformats.org/drawingml/2006/main">
          <a:off x="1558925" y="650875"/>
          <a:ext cx="698500" cy="488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000">
              <a:solidFill>
                <a:schemeClr val="accent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Optimal Portfolio</a:t>
          </a:r>
        </a:p>
      </cdr:txBody>
    </cdr:sp>
  </cdr:relSizeAnchor>
  <cdr:relSizeAnchor xmlns:cdr="http://schemas.openxmlformats.org/drawingml/2006/chartDrawing">
    <cdr:from>
      <cdr:x>0.46875</cdr:x>
      <cdr:y>0.3406</cdr:y>
    </cdr:from>
    <cdr:to>
      <cdr:x>0.52986</cdr:x>
      <cdr:y>0.37959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F96C513-126D-4077-9EFF-333340458EF2}"/>
            </a:ext>
          </a:extLst>
        </cdr:cNvPr>
        <cdr:cNvCxnSpPr/>
      </cdr:nvCxnSpPr>
      <cdr:spPr>
        <a:xfrm xmlns:a="http://schemas.openxmlformats.org/drawingml/2006/main">
          <a:off x="2143125" y="942975"/>
          <a:ext cx="279400" cy="10795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3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workbookViewId="0">
      <selection activeCell="C27" sqref="C27"/>
    </sheetView>
  </sheetViews>
  <sheetFormatPr defaultColWidth="9.109375" defaultRowHeight="13.8" x14ac:dyDescent="0.3"/>
  <cols>
    <col min="1" max="1" width="9.109375" style="1"/>
    <col min="2" max="2" width="13.44140625" style="1" customWidth="1"/>
    <col min="3" max="3" width="11.44140625" style="1" customWidth="1"/>
    <col min="4" max="5" width="18.88671875" style="1" customWidth="1"/>
    <col min="6" max="6" width="9.109375" style="1"/>
    <col min="7" max="7" width="10.88671875" style="1" customWidth="1"/>
    <col min="8" max="8" width="10.109375" style="1" customWidth="1"/>
    <col min="9" max="16384" width="9.109375" style="1"/>
  </cols>
  <sheetData>
    <row r="1" spans="1:14" ht="15.6" x14ac:dyDescent="0.3">
      <c r="A1" s="4"/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6" x14ac:dyDescent="0.3">
      <c r="A2" s="5"/>
      <c r="B2" s="7" t="s">
        <v>13</v>
      </c>
      <c r="C2" s="8"/>
      <c r="D2" s="8"/>
      <c r="E2" s="8"/>
      <c r="F2" s="6"/>
      <c r="G2" s="6"/>
      <c r="H2" s="6"/>
      <c r="I2" s="6"/>
      <c r="J2" s="6"/>
      <c r="K2" s="6"/>
      <c r="L2" s="6"/>
      <c r="M2" s="6"/>
      <c r="N2" s="6"/>
    </row>
    <row r="4" spans="1:14" x14ac:dyDescent="0.3">
      <c r="B4" s="10" t="s">
        <v>14</v>
      </c>
      <c r="C4" s="16">
        <v>0.15</v>
      </c>
      <c r="D4" s="2" t="s">
        <v>16</v>
      </c>
      <c r="E4" s="19">
        <v>0.18</v>
      </c>
    </row>
    <row r="5" spans="1:14" x14ac:dyDescent="0.3">
      <c r="B5" s="10" t="s">
        <v>15</v>
      </c>
      <c r="C5" s="16">
        <v>7.0000000000000007E-2</v>
      </c>
      <c r="D5" s="2" t="s">
        <v>17</v>
      </c>
      <c r="E5" s="19">
        <v>0.1</v>
      </c>
    </row>
    <row r="6" spans="1:14" x14ac:dyDescent="0.3">
      <c r="B6" s="11"/>
      <c r="C6" s="14"/>
    </row>
    <row r="7" spans="1:14" x14ac:dyDescent="0.3">
      <c r="B7" s="9" t="s">
        <v>18</v>
      </c>
      <c r="C7" s="17">
        <v>-0.15</v>
      </c>
    </row>
    <row r="8" spans="1:14" x14ac:dyDescent="0.3">
      <c r="B8" s="9"/>
      <c r="C8" s="18"/>
    </row>
    <row r="9" spans="1:14" ht="27.6" x14ac:dyDescent="0.3">
      <c r="B9" s="13"/>
      <c r="C9" s="13"/>
      <c r="D9" s="12" t="s">
        <v>2</v>
      </c>
      <c r="E9" s="12" t="s">
        <v>1</v>
      </c>
    </row>
    <row r="10" spans="1:14" x14ac:dyDescent="0.3">
      <c r="B10" s="3" t="s">
        <v>3</v>
      </c>
      <c r="C10" s="14">
        <v>0.1</v>
      </c>
      <c r="D10" s="15">
        <f t="shared" ref="D10:D19" si="0">SQRT((C10*$E$4)^2+((1-C10)*$E$5)^2+2*$E$4*$E$5*C10*(1-C10)*$C$7)</f>
        <v>8.9095454429504992E-2</v>
      </c>
      <c r="E10" s="15">
        <f>C10*$C$4+(1-C10)*$C$5</f>
        <v>7.8000000000000014E-2</v>
      </c>
    </row>
    <row r="11" spans="1:14" x14ac:dyDescent="0.3">
      <c r="C11" s="14">
        <v>0.2</v>
      </c>
      <c r="D11" s="15">
        <f t="shared" si="0"/>
        <v>8.265591327908732E-2</v>
      </c>
      <c r="E11" s="15">
        <f t="shared" ref="E11:E19" si="1">C11*$C$4+(1-C11)*$C$5</f>
        <v>8.6000000000000007E-2</v>
      </c>
    </row>
    <row r="12" spans="1:14" x14ac:dyDescent="0.3">
      <c r="C12" s="14">
        <v>0.3</v>
      </c>
      <c r="D12" s="15">
        <f t="shared" si="0"/>
        <v>8.1743501270743216E-2</v>
      </c>
      <c r="E12" s="15">
        <f t="shared" si="1"/>
        <v>9.4E-2</v>
      </c>
    </row>
    <row r="13" spans="1:14" x14ac:dyDescent="0.3">
      <c r="C13" s="14">
        <v>0.4</v>
      </c>
      <c r="D13" s="15">
        <f t="shared" si="0"/>
        <v>8.6533230611135742E-2</v>
      </c>
      <c r="E13" s="15">
        <f t="shared" si="1"/>
        <v>0.10200000000000001</v>
      </c>
    </row>
    <row r="14" spans="1:14" x14ac:dyDescent="0.3">
      <c r="C14" s="14">
        <v>0.5</v>
      </c>
      <c r="D14" s="15">
        <f t="shared" si="0"/>
        <v>9.6176920308356728E-2</v>
      </c>
      <c r="E14" s="15">
        <f t="shared" si="1"/>
        <v>0.11</v>
      </c>
    </row>
    <row r="15" spans="1:14" x14ac:dyDescent="0.3">
      <c r="C15" s="14">
        <v>0.6</v>
      </c>
      <c r="D15" s="15">
        <f t="shared" si="0"/>
        <v>0.10939835464941874</v>
      </c>
      <c r="E15" s="15">
        <f t="shared" si="1"/>
        <v>0.11799999999999999</v>
      </c>
    </row>
    <row r="16" spans="1:14" x14ac:dyDescent="0.3">
      <c r="C16" s="14">
        <v>0.7</v>
      </c>
      <c r="D16" s="15">
        <f t="shared" si="0"/>
        <v>0.12506798151405499</v>
      </c>
      <c r="E16" s="15">
        <f t="shared" si="1"/>
        <v>0.126</v>
      </c>
    </row>
    <row r="17" spans="2:5" x14ac:dyDescent="0.3">
      <c r="C17" s="14">
        <v>0.8</v>
      </c>
      <c r="D17" s="15">
        <f t="shared" si="0"/>
        <v>0.14237977384446149</v>
      </c>
      <c r="E17" s="15">
        <f t="shared" si="1"/>
        <v>0.13400000000000001</v>
      </c>
    </row>
    <row r="18" spans="2:5" x14ac:dyDescent="0.3">
      <c r="C18" s="14">
        <v>0.9</v>
      </c>
      <c r="D18" s="15">
        <f t="shared" si="0"/>
        <v>0.16080422880011583</v>
      </c>
      <c r="E18" s="15">
        <f t="shared" si="1"/>
        <v>0.14200000000000002</v>
      </c>
    </row>
    <row r="19" spans="2:5" x14ac:dyDescent="0.3">
      <c r="C19" s="14">
        <v>1</v>
      </c>
      <c r="D19" s="15">
        <f t="shared" si="0"/>
        <v>0.18</v>
      </c>
      <c r="E19" s="15">
        <f t="shared" si="1"/>
        <v>0.15</v>
      </c>
    </row>
    <row r="24" spans="2:5" ht="15.6" x14ac:dyDescent="0.3">
      <c r="B24" s="27"/>
    </row>
    <row r="25" spans="2:5" ht="15.6" x14ac:dyDescent="0.3">
      <c r="B25" s="28"/>
    </row>
    <row r="26" spans="2:5" ht="15.6" x14ac:dyDescent="0.3">
      <c r="B26" s="28"/>
    </row>
    <row r="27" spans="2:5" ht="15.6" x14ac:dyDescent="0.3">
      <c r="B27" s="28"/>
    </row>
    <row r="28" spans="2:5" ht="15.6" x14ac:dyDescent="0.3">
      <c r="B28" s="28"/>
    </row>
    <row r="29" spans="2:5" ht="15.6" x14ac:dyDescent="0.3">
      <c r="B29" s="28"/>
    </row>
    <row r="30" spans="2:5" ht="15.6" x14ac:dyDescent="0.3">
      <c r="B30" s="28"/>
    </row>
    <row r="31" spans="2:5" ht="15.6" x14ac:dyDescent="0.3">
      <c r="B31" s="28"/>
    </row>
    <row r="32" spans="2:5" ht="15.6" x14ac:dyDescent="0.3">
      <c r="B32" s="2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3"/>
  <sheetViews>
    <sheetView showGridLines="0" tabSelected="1" topLeftCell="A3" zoomScale="72" workbookViewId="0">
      <selection activeCell="F21" sqref="F21"/>
    </sheetView>
  </sheetViews>
  <sheetFormatPr defaultRowHeight="14.4" x14ac:dyDescent="0.3"/>
  <cols>
    <col min="1" max="1" width="8.6640625" customWidth="1"/>
    <col min="2" max="2" width="10.88671875" customWidth="1"/>
    <col min="3" max="3" width="19.6640625" customWidth="1"/>
    <col min="4" max="5" width="18.44140625" customWidth="1"/>
    <col min="6" max="6" width="17.88671875" customWidth="1"/>
    <col min="7" max="7" width="11.5546875" customWidth="1"/>
  </cols>
  <sheetData>
    <row r="1" spans="1:18" ht="15.6" x14ac:dyDescent="0.3">
      <c r="A1" s="4"/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.6" x14ac:dyDescent="0.3">
      <c r="A2" s="5"/>
      <c r="B2" s="7" t="s">
        <v>13</v>
      </c>
      <c r="C2" s="8"/>
      <c r="D2" s="8"/>
      <c r="E2" s="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x14ac:dyDescent="0.35">
      <c r="A4" t="s">
        <v>19</v>
      </c>
      <c r="B4" s="10" t="s">
        <v>14</v>
      </c>
      <c r="C4" s="30">
        <v>0.26043430019713271</v>
      </c>
      <c r="D4" s="2" t="s">
        <v>16</v>
      </c>
      <c r="E4" s="30">
        <v>2.6922799943248428E-2</v>
      </c>
      <c r="F4" s="1"/>
      <c r="G4" s="2" t="s">
        <v>4</v>
      </c>
      <c r="H4" s="20">
        <v>0.05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x14ac:dyDescent="0.35">
      <c r="A5" t="s">
        <v>20</v>
      </c>
      <c r="B5" s="10" t="s">
        <v>15</v>
      </c>
      <c r="C5" s="30">
        <v>0.12816058652401913</v>
      </c>
      <c r="D5" s="2" t="s">
        <v>17</v>
      </c>
      <c r="E5" s="30">
        <v>1.3792767596130025E-2</v>
      </c>
      <c r="F5" s="1"/>
      <c r="G5" s="1"/>
      <c r="H5" s="2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B6" s="11"/>
      <c r="C6" s="1"/>
      <c r="D6" s="1"/>
      <c r="E6" s="31"/>
      <c r="F6" s="1"/>
      <c r="G6" s="1"/>
      <c r="H6" s="22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 x14ac:dyDescent="0.35">
      <c r="B7" s="9" t="s">
        <v>0</v>
      </c>
      <c r="C7" s="32">
        <v>0.61774293112141987</v>
      </c>
      <c r="D7" s="1"/>
      <c r="E7" s="1"/>
      <c r="F7" s="1"/>
      <c r="G7" s="1"/>
      <c r="H7" s="1"/>
      <c r="I7" s="1"/>
      <c r="J7" s="26">
        <v>0.1</v>
      </c>
      <c r="K7" s="1"/>
      <c r="L7" s="1"/>
      <c r="M7" s="1"/>
      <c r="N7" s="1"/>
      <c r="O7" s="1"/>
      <c r="P7" s="1"/>
      <c r="Q7" s="1"/>
      <c r="R7" s="1"/>
    </row>
    <row r="8" spans="1:18" x14ac:dyDescent="0.3">
      <c r="B8" s="9"/>
      <c r="C8" s="2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7.6" x14ac:dyDescent="0.3">
      <c r="B9" s="13"/>
      <c r="C9" s="13"/>
      <c r="D9" s="12" t="s">
        <v>2</v>
      </c>
      <c r="E9" s="12" t="s">
        <v>1</v>
      </c>
      <c r="F9" s="12" t="s">
        <v>5</v>
      </c>
      <c r="G9" s="12" t="s">
        <v>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B10" s="3" t="s">
        <v>3</v>
      </c>
      <c r="C10" s="26">
        <v>0.72505998736164834</v>
      </c>
      <c r="D10" s="15">
        <f t="shared" ref="D10:D19" si="0">SQRT((C10*$E$4)^2+((1-C10)*$E$5)^2+2*$E$4*$E$5*C10*(1-C10)*$C$7)</f>
        <v>2.2065678230748103E-2</v>
      </c>
      <c r="E10" s="15">
        <f>C10*$C$4+(1-C10)*$C$5</f>
        <v>0.22406696368812518</v>
      </c>
      <c r="F10" s="16">
        <f>E10-$H$4</f>
        <v>0.17406696368812519</v>
      </c>
      <c r="G10" s="24">
        <f>F10/D10</f>
        <v>7.8885843375331284</v>
      </c>
      <c r="H10" s="1" t="s">
        <v>11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B11" s="1"/>
      <c r="C11" s="1">
        <v>0.2</v>
      </c>
      <c r="D11" s="15">
        <f t="shared" si="0"/>
        <v>1.4971740129004292E-2</v>
      </c>
      <c r="E11" s="15">
        <f t="shared" ref="E11:E19" si="1">C11*$C$4+(1-C11)*$C$5</f>
        <v>0.15461532925864185</v>
      </c>
      <c r="F11" s="1"/>
      <c r="G11" s="1"/>
      <c r="H11" s="1" t="s">
        <v>10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B12" s="1"/>
      <c r="C12" s="1">
        <v>0.3</v>
      </c>
      <c r="D12" s="15">
        <f t="shared" si="0"/>
        <v>1.5962395054057731E-2</v>
      </c>
      <c r="E12" s="15">
        <f t="shared" si="1"/>
        <v>0.16784270062595319</v>
      </c>
      <c r="F12" s="1"/>
      <c r="G12" s="1"/>
      <c r="H12" s="1" t="s">
        <v>12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B13" s="1"/>
      <c r="C13" s="1">
        <v>0.4</v>
      </c>
      <c r="D13" s="15">
        <f t="shared" si="0"/>
        <v>1.7163011292822751E-2</v>
      </c>
      <c r="E13" s="15">
        <f t="shared" si="1"/>
        <v>0.18107007199326458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B14" s="1"/>
      <c r="C14" s="1">
        <v>0.5</v>
      </c>
      <c r="D14" s="15">
        <f t="shared" si="0"/>
        <v>1.853282776096786E-2</v>
      </c>
      <c r="E14" s="15">
        <f t="shared" si="1"/>
        <v>0.19429744336057592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B15" s="1"/>
      <c r="C15" s="1">
        <v>0.6</v>
      </c>
      <c r="D15" s="15">
        <f t="shared" si="0"/>
        <v>2.0037172964323731E-2</v>
      </c>
      <c r="E15" s="15">
        <f t="shared" si="1"/>
        <v>0.20752481472788728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B16" s="1"/>
      <c r="C16" s="1">
        <v>0.7</v>
      </c>
      <c r="D16" s="15">
        <f t="shared" si="0"/>
        <v>2.1648019387258872E-2</v>
      </c>
      <c r="E16" s="15">
        <f t="shared" si="1"/>
        <v>0.22075218609519864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x14ac:dyDescent="0.3">
      <c r="B17" s="1"/>
      <c r="C17" s="1">
        <v>0.8</v>
      </c>
      <c r="D17" s="15">
        <f t="shared" si="0"/>
        <v>2.3343329535103416E-2</v>
      </c>
      <c r="E17" s="15">
        <f t="shared" si="1"/>
        <v>0.23397955746251001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x14ac:dyDescent="0.3">
      <c r="B18" s="1"/>
      <c r="C18" s="1">
        <v>0.9</v>
      </c>
      <c r="D18" s="15">
        <f t="shared" si="0"/>
        <v>2.5105998717081777E-2</v>
      </c>
      <c r="E18" s="15">
        <f t="shared" si="1"/>
        <v>0.24720692882982134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x14ac:dyDescent="0.3">
      <c r="B19" s="1"/>
      <c r="C19" s="1">
        <v>1</v>
      </c>
      <c r="D19" s="15">
        <f t="shared" si="0"/>
        <v>2.6922799943248428E-2</v>
      </c>
      <c r="E19" s="15">
        <f t="shared" si="1"/>
        <v>0.26043430019713271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x14ac:dyDescent="0.3">
      <c r="B20" s="1"/>
      <c r="C20" s="1"/>
      <c r="D20" s="14"/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x14ac:dyDescent="0.3">
      <c r="B21" s="1"/>
      <c r="C21" s="1"/>
      <c r="D21" s="14" t="s">
        <v>7</v>
      </c>
      <c r="E21" s="14" t="s">
        <v>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 x14ac:dyDescent="0.3">
      <c r="B22" s="1"/>
      <c r="C22" s="3" t="s">
        <v>9</v>
      </c>
      <c r="D22" s="14">
        <v>0</v>
      </c>
      <c r="E22" s="14">
        <v>0.05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x14ac:dyDescent="0.3">
      <c r="B23" s="1"/>
      <c r="C23" s="1"/>
      <c r="D23" s="14">
        <v>0.01</v>
      </c>
      <c r="E23" s="25">
        <f>$G$10*D23+$H$4</f>
        <v>0.12888584337533129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x14ac:dyDescent="0.3">
      <c r="B24" s="1"/>
      <c r="C24" s="1"/>
      <c r="D24" s="14">
        <v>0.02</v>
      </c>
      <c r="E24" s="25">
        <f t="shared" ref="E24:E42" si="2">$G$10*D24+$H$4</f>
        <v>0.2077716867506626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x14ac:dyDescent="0.3">
      <c r="B25" s="1"/>
      <c r="C25" s="1"/>
      <c r="D25" s="14">
        <v>0.03</v>
      </c>
      <c r="E25" s="25">
        <f t="shared" si="2"/>
        <v>0.28665753012599382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3">
      <c r="B26" s="1"/>
      <c r="C26" s="1"/>
      <c r="D26" s="14">
        <v>0.04</v>
      </c>
      <c r="E26" s="25">
        <f t="shared" si="2"/>
        <v>0.36554337350132515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x14ac:dyDescent="0.3">
      <c r="B27" s="1"/>
      <c r="C27" s="1"/>
      <c r="D27" s="14">
        <v>0.05</v>
      </c>
      <c r="E27" s="25">
        <f t="shared" si="2"/>
        <v>0.44442921687665643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x14ac:dyDescent="0.3">
      <c r="B28" s="1"/>
      <c r="C28" s="1"/>
      <c r="D28" s="14">
        <v>0.06</v>
      </c>
      <c r="E28" s="25">
        <f t="shared" si="2"/>
        <v>0.52331506025198771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x14ac:dyDescent="0.3">
      <c r="B29" s="1"/>
      <c r="C29" s="1"/>
      <c r="D29" s="14">
        <v>7.0000000000000007E-2</v>
      </c>
      <c r="E29" s="25">
        <f t="shared" si="2"/>
        <v>0.60220090362731904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x14ac:dyDescent="0.3">
      <c r="B30" s="1"/>
      <c r="C30" s="1"/>
      <c r="D30" s="14">
        <v>0.08</v>
      </c>
      <c r="E30" s="25">
        <f t="shared" si="2"/>
        <v>0.68108674700265037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x14ac:dyDescent="0.3">
      <c r="B31" s="1"/>
      <c r="C31" s="1"/>
      <c r="D31" s="14">
        <v>0.09</v>
      </c>
      <c r="E31" s="25">
        <f t="shared" si="2"/>
        <v>0.75997259037798159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x14ac:dyDescent="0.3">
      <c r="B32" s="1"/>
      <c r="C32" s="1"/>
      <c r="D32" s="14">
        <v>0.1</v>
      </c>
      <c r="E32" s="25">
        <f t="shared" si="2"/>
        <v>0.83885843375331293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x14ac:dyDescent="0.3">
      <c r="B33" s="1"/>
      <c r="C33" s="1"/>
      <c r="D33" s="14">
        <v>0.11</v>
      </c>
      <c r="E33" s="25">
        <f t="shared" si="2"/>
        <v>0.91774427712864415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x14ac:dyDescent="0.3">
      <c r="B34" s="1"/>
      <c r="C34" s="1"/>
      <c r="D34" s="14">
        <v>0.12</v>
      </c>
      <c r="E34" s="25">
        <f t="shared" si="2"/>
        <v>0.99663012050397537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x14ac:dyDescent="0.3">
      <c r="B35" s="1"/>
      <c r="C35" s="1"/>
      <c r="D35" s="14">
        <v>0.13</v>
      </c>
      <c r="E35" s="25">
        <f t="shared" si="2"/>
        <v>1.0755159638793068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x14ac:dyDescent="0.3">
      <c r="B36" s="1"/>
      <c r="C36" s="1"/>
      <c r="D36" s="14">
        <v>0.14000000000000001</v>
      </c>
      <c r="E36" s="25">
        <f t="shared" si="2"/>
        <v>1.154401807254638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x14ac:dyDescent="0.3">
      <c r="B37" s="1"/>
      <c r="C37" s="1"/>
      <c r="D37" s="14">
        <v>0.15</v>
      </c>
      <c r="E37" s="25">
        <f t="shared" si="2"/>
        <v>1.2332876506299693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x14ac:dyDescent="0.3">
      <c r="B38" s="1"/>
      <c r="C38" s="1"/>
      <c r="D38" s="14">
        <v>0.16</v>
      </c>
      <c r="E38" s="25">
        <f t="shared" si="2"/>
        <v>1.3121734940053007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x14ac:dyDescent="0.3">
      <c r="B39" s="1"/>
      <c r="C39" s="1"/>
      <c r="D39" s="14">
        <v>0.17</v>
      </c>
      <c r="E39" s="25">
        <f t="shared" si="2"/>
        <v>1.3910593373806319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x14ac:dyDescent="0.3">
      <c r="B40" s="1"/>
      <c r="C40" s="1"/>
      <c r="D40" s="14">
        <v>0.18</v>
      </c>
      <c r="E40" s="25">
        <f t="shared" si="2"/>
        <v>1.4699451807559631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x14ac:dyDescent="0.3">
      <c r="B41" s="1"/>
      <c r="C41" s="1"/>
      <c r="D41" s="14">
        <v>0.19</v>
      </c>
      <c r="E41" s="25">
        <f t="shared" si="2"/>
        <v>1.5488310241312944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3">
      <c r="B42" s="1"/>
      <c r="C42" s="1"/>
      <c r="D42" s="14">
        <v>0.2</v>
      </c>
      <c r="E42" s="25">
        <f t="shared" si="2"/>
        <v>1.6277168675066258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Efficient Frontier</vt:lpstr>
      <vt:lpstr>Optimal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2026-02-28T11:31:49Z</dcterms:modified>
</cp:coreProperties>
</file>